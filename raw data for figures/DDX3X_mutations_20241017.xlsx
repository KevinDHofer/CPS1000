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analysis/DDX3X_BTKi/"/>
    </mc:Choice>
  </mc:AlternateContent>
  <xr:revisionPtr revIDLastSave="0" documentId="13_ncr:1_{03AE7309-13D1-0444-8B6B-B806EF648675}" xr6:coauthVersionLast="47" xr6:coauthVersionMax="47" xr10:uidLastSave="{00000000-0000-0000-0000-000000000000}"/>
  <bookViews>
    <workbookView xWindow="380" yWindow="760" windowWidth="28040" windowHeight="17000" activeTab="1" xr2:uid="{743DD3C1-EA0B-ED45-ADAE-4F72B69A2CEE}"/>
  </bookViews>
  <sheets>
    <sheet name="CPS_overview" sheetId="4" r:id="rId1"/>
    <sheet name="CPS1000" sheetId="3" r:id="rId2"/>
    <sheet name="literature" sheetId="1" r:id="rId3"/>
    <sheet name="references" sheetId="2" r:id="rId4"/>
    <sheet name="co-mutations" sheetId="5" r:id="rId5"/>
    <sheet name="table" sheetId="6" r:id="rId6"/>
  </sheets>
  <definedNames>
    <definedName name="_xlnm._FilterDatabase" localSheetId="1" hidden="1">'CPS1000'!$B$1:$H$9</definedName>
    <definedName name="_xlnm._FilterDatabase" localSheetId="2" hidden="1">literature!$A$1:$H$52</definedName>
    <definedName name="_xlnm.Print_Area" localSheetId="5">table!$A$1:$H$9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 a="1"/>
  <c r="H2" i="3" s="1"/>
  <c r="H19" i="1"/>
  <c r="H45" i="1"/>
  <c r="H15" i="1"/>
  <c r="H25" i="1"/>
  <c r="H21" i="1"/>
  <c r="H10" i="1"/>
  <c r="H12" i="1"/>
  <c r="H50" i="1"/>
  <c r="H3" i="1"/>
  <c r="H20" i="1"/>
  <c r="H6" i="1"/>
  <c r="H30" i="1"/>
  <c r="H28" i="1"/>
  <c r="H34" i="1"/>
  <c r="H17" i="1"/>
  <c r="H13" i="1"/>
  <c r="H8" i="1"/>
  <c r="H37" i="1"/>
  <c r="H31" i="1"/>
  <c r="H23" i="1"/>
  <c r="H38" i="1"/>
  <c r="H14" i="1"/>
  <c r="H26" i="1"/>
  <c r="H27" i="1"/>
  <c r="H51" i="1"/>
  <c r="H9" i="1"/>
  <c r="H16" i="1"/>
  <c r="H5" i="1"/>
  <c r="H4" i="1"/>
  <c r="H29" i="1"/>
  <c r="H24" i="1"/>
  <c r="H35" i="1"/>
  <c r="H48" i="1"/>
  <c r="H49" i="1"/>
  <c r="H7" i="1"/>
  <c r="H18" i="1"/>
  <c r="H32" i="1"/>
  <c r="H33" i="1"/>
  <c r="H47" i="1"/>
  <c r="H46" i="1"/>
  <c r="H11" i="1"/>
  <c r="H22" i="1"/>
  <c r="H2" i="1"/>
  <c r="H52" i="1"/>
  <c r="H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<sst xmlns="http://schemas.openxmlformats.org/spreadsheetml/2006/main" count="521" uniqueCount="163">
  <si>
    <t>change_to</t>
  </si>
  <si>
    <t>source</t>
  </si>
  <si>
    <t>Wang et al.</t>
  </si>
  <si>
    <t>Wang 2011, NEJM</t>
  </si>
  <si>
    <t>S</t>
  </si>
  <si>
    <t>K</t>
  </si>
  <si>
    <t>splice</t>
  </si>
  <si>
    <t>fs</t>
  </si>
  <si>
    <t>Puente 2015, Nature</t>
  </si>
  <si>
    <t>position</t>
  </si>
  <si>
    <t>Puente et al.</t>
  </si>
  <si>
    <t>I</t>
  </si>
  <si>
    <t>M</t>
  </si>
  <si>
    <t>K/M</t>
  </si>
  <si>
    <t>S/F</t>
  </si>
  <si>
    <t>L</t>
  </si>
  <si>
    <t>V</t>
  </si>
  <si>
    <t>E</t>
  </si>
  <si>
    <t>F</t>
  </si>
  <si>
    <t>L/F</t>
  </si>
  <si>
    <t>A</t>
  </si>
  <si>
    <t>A/V</t>
  </si>
  <si>
    <t>D</t>
  </si>
  <si>
    <t>Landau et al.</t>
  </si>
  <si>
    <t>Q</t>
  </si>
  <si>
    <t>P</t>
  </si>
  <si>
    <t>R</t>
  </si>
  <si>
    <t>G</t>
  </si>
  <si>
    <t>Landau 2015, Nature</t>
  </si>
  <si>
    <t>K342splice</t>
  </si>
  <si>
    <t>S410fs</t>
  </si>
  <si>
    <t>S456fs</t>
  </si>
  <si>
    <t>I214fs</t>
  </si>
  <si>
    <t>M330K/M</t>
  </si>
  <si>
    <t>L495V</t>
  </si>
  <si>
    <t>E566fs</t>
  </si>
  <si>
    <t>F487L/F</t>
  </si>
  <si>
    <t>V168fs</t>
  </si>
  <si>
    <t>A322A/V</t>
  </si>
  <si>
    <t>K452E</t>
  </si>
  <si>
    <t>D368fs</t>
  </si>
  <si>
    <t>Q417fs</t>
  </si>
  <si>
    <t>P324Q</t>
  </si>
  <si>
    <t>R333G</t>
  </si>
  <si>
    <t>I415V</t>
  </si>
  <si>
    <t>F52fs</t>
  </si>
  <si>
    <t>M330K</t>
  </si>
  <si>
    <t>S410F</t>
  </si>
  <si>
    <t xml:space="preserve">C282fs </t>
  </si>
  <si>
    <t xml:space="preserve">E372fs </t>
  </si>
  <si>
    <t xml:space="preserve">M331V </t>
  </si>
  <si>
    <t xml:space="preserve">S410C </t>
  </si>
  <si>
    <t xml:space="preserve">T395I </t>
  </si>
  <si>
    <t xml:space="preserve">Q374X </t>
  </si>
  <si>
    <t xml:space="preserve">L419R </t>
  </si>
  <si>
    <t>Q209X</t>
  </si>
  <si>
    <t>aa</t>
  </si>
  <si>
    <t>type</t>
  </si>
  <si>
    <t>frameshift</t>
  </si>
  <si>
    <t>C</t>
  </si>
  <si>
    <t>T</t>
  </si>
  <si>
    <t>X</t>
  </si>
  <si>
    <t>missense</t>
  </si>
  <si>
    <t>patientID</t>
  </si>
  <si>
    <t>P0293</t>
  </si>
  <si>
    <t>P0538</t>
  </si>
  <si>
    <t>AF</t>
  </si>
  <si>
    <t>P0696</t>
  </si>
  <si>
    <t>P0711</t>
  </si>
  <si>
    <t>P0880</t>
  </si>
  <si>
    <t>P0987</t>
  </si>
  <si>
    <t>P1027</t>
  </si>
  <si>
    <t>P1075</t>
  </si>
  <si>
    <t>ID</t>
  </si>
  <si>
    <t>sex</t>
  </si>
  <si>
    <t>IGHV</t>
  </si>
  <si>
    <t>U</t>
  </si>
  <si>
    <t>CPS1000</t>
  </si>
  <si>
    <t>Junyan_RNAseq_analysis_2019</t>
  </si>
  <si>
    <t>proteomics</t>
  </si>
  <si>
    <t>methylation</t>
  </si>
  <si>
    <t>Proteomics Batch 1</t>
  </si>
  <si>
    <t>Proteomics Batch 2</t>
  </si>
  <si>
    <t>Proteomics Batch 3</t>
  </si>
  <si>
    <t>Proteomics Batch 4</t>
  </si>
  <si>
    <t>Proteomics sSWATH (RY)</t>
  </si>
  <si>
    <t>CD19 pellets left</t>
  </si>
  <si>
    <t>none</t>
  </si>
  <si>
    <t>received</t>
  </si>
  <si>
    <t>planned</t>
  </si>
  <si>
    <t>yes</t>
  </si>
  <si>
    <t>no</t>
  </si>
  <si>
    <t>stop</t>
  </si>
  <si>
    <t>RNAseq_data</t>
  </si>
  <si>
    <t>WES</t>
  </si>
  <si>
    <t>nr1</t>
  </si>
  <si>
    <t>nr2</t>
  </si>
  <si>
    <t>BIRC3 and others</t>
  </si>
  <si>
    <t>AmpliSeq</t>
  </si>
  <si>
    <t>BIRC3</t>
  </si>
  <si>
    <t>genes</t>
  </si>
  <si>
    <t>WGS</t>
  </si>
  <si>
    <t>method1</t>
  </si>
  <si>
    <t>method2</t>
  </si>
  <si>
    <t>454seq</t>
  </si>
  <si>
    <t>NOTCH1</t>
  </si>
  <si>
    <t>EGR2, FBXW7 and others</t>
  </si>
  <si>
    <t>EGR2 and others</t>
  </si>
  <si>
    <t>FAT2, IKZF3</t>
  </si>
  <si>
    <t>SF3B1, TP53</t>
  </si>
  <si>
    <t>EGR2, NOTCH1</t>
  </si>
  <si>
    <t>mutation</t>
  </si>
  <si>
    <t>Knisbacher et al.</t>
  </si>
  <si>
    <t>KH</t>
  </si>
  <si>
    <t>N</t>
  </si>
  <si>
    <t>P167fs</t>
  </si>
  <si>
    <t>A322V</t>
  </si>
  <si>
    <t>T369fs</t>
  </si>
  <si>
    <t>DF395fs</t>
  </si>
  <si>
    <t>SFLLDLL429fs</t>
  </si>
  <si>
    <t>F487L</t>
  </si>
  <si>
    <t>511_512KH&gt;N</t>
  </si>
  <si>
    <t>V567fs</t>
  </si>
  <si>
    <t>S24X</t>
  </si>
  <si>
    <t>E180X</t>
  </si>
  <si>
    <t>C298X</t>
  </si>
  <si>
    <t>Sex</t>
  </si>
  <si>
    <t>Type of mutation</t>
  </si>
  <si>
    <t>Allele frequency</t>
  </si>
  <si>
    <t>Exon</t>
  </si>
  <si>
    <t>c.845dupG</t>
  </si>
  <si>
    <t>p.C282fs</t>
  </si>
  <si>
    <t>Coding DNA sequence mutation</t>
  </si>
  <si>
    <t>Amino acid mutation</t>
  </si>
  <si>
    <t>c.1115_1122del</t>
  </si>
  <si>
    <t>Frameshift deletion</t>
  </si>
  <si>
    <t>Frameshift insertion</t>
  </si>
  <si>
    <t>p.E372fs</t>
  </si>
  <si>
    <t>c.A991G</t>
  </si>
  <si>
    <t>p.M331V</t>
  </si>
  <si>
    <t>nonsynonymous SNV</t>
  </si>
  <si>
    <t>DDX3X:ENST00000399959.2:exon10:c.A991G:p.M331V,DDX3X:ENST00000457138.2:exon9:c.A943G:p.M315V</t>
  </si>
  <si>
    <t>Annovar.transcripts</t>
  </si>
  <si>
    <t>c.C1229G</t>
  </si>
  <si>
    <t>p.S410C</t>
  </si>
  <si>
    <t>DDX3X:ENST00000399959.2:exon12:c.C1229G:p.S410C,DDX3X:ENST00000457138.2:exon11:c.C1181G:p.S394C,</t>
  </si>
  <si>
    <t>c.C1184T</t>
  </si>
  <si>
    <t>p.T395I</t>
  </si>
  <si>
    <t>DDX3X:ENST00000457138.2:exon11:c.C1184T:p.T395I,DDX3X:ENST00000399959.2:exon12:c.C1232T:p.T411I,</t>
  </si>
  <si>
    <t>stopgain</t>
  </si>
  <si>
    <t>c.C1120T</t>
  </si>
  <si>
    <t>p.Q374X</t>
  </si>
  <si>
    <t>c.T1256G</t>
  </si>
  <si>
    <t>p.L419R</t>
  </si>
  <si>
    <t>c.C625T</t>
  </si>
  <si>
    <t>p.Q209X</t>
  </si>
  <si>
    <t>multiple</t>
  </si>
  <si>
    <t>type_adjusted</t>
  </si>
  <si>
    <t>Frameshift</t>
  </si>
  <si>
    <t>Missense</t>
  </si>
  <si>
    <t>Splice</t>
  </si>
  <si>
    <t>Stop</t>
  </si>
  <si>
    <t>In-frame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</si>
</sst>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7DEF-7F30-4243-B787-C373082154C0}">
  <dimension ref="A1:T31"/>
  <sheetViews>
    <sheetView topLeftCell="E1" workbookViewId="0">
      <selection activeCell="I17" sqref="I17"/>
    </sheetView>
  </sheetViews>
  <sheetFormatPr baseColWidth="10" defaultRowHeight="16" x14ac:dyDescent="0.2"/>
  <sheetData>
    <row r="1" spans="1:20" x14ac:dyDescent="0.2">
      <c r="A1" t="s">
        <v>63</v>
      </c>
      <c r="B1" s="1" t="s">
        <v>111</v>
      </c>
      <c r="C1" t="s">
        <v>9</v>
      </c>
      <c r="D1" t="s">
        <v>56</v>
      </c>
      <c r="E1" t="s">
        <v>0</v>
      </c>
      <c r="F1" t="s">
        <v>57</v>
      </c>
      <c r="G1" t="s">
        <v>74</v>
      </c>
      <c r="H1" t="s">
        <v>75</v>
      </c>
      <c r="I1" t="s">
        <v>66</v>
      </c>
      <c r="J1" t="s">
        <v>77</v>
      </c>
      <c r="K1" t="s">
        <v>78</v>
      </c>
      <c r="L1" t="s">
        <v>93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</row>
    <row r="2" spans="1:20" x14ac:dyDescent="0.2">
      <c r="A2" t="s">
        <v>64</v>
      </c>
      <c r="B2" s="2" t="s">
        <v>48</v>
      </c>
      <c r="C2">
        <v>282</v>
      </c>
      <c r="D2" t="s">
        <v>59</v>
      </c>
      <c r="E2" t="s">
        <v>7</v>
      </c>
      <c r="F2" t="s">
        <v>58</v>
      </c>
      <c r="G2" t="s">
        <v>12</v>
      </c>
      <c r="H2" t="s">
        <v>76</v>
      </c>
      <c r="I2">
        <v>86.3</v>
      </c>
      <c r="J2">
        <v>1</v>
      </c>
      <c r="K2">
        <v>0</v>
      </c>
      <c r="L2" t="s">
        <v>87</v>
      </c>
      <c r="M2" t="s">
        <v>88</v>
      </c>
      <c r="N2" t="s">
        <v>89</v>
      </c>
      <c r="O2">
        <v>1</v>
      </c>
      <c r="T2" t="s">
        <v>90</v>
      </c>
    </row>
    <row r="3" spans="1:20" x14ac:dyDescent="0.2">
      <c r="A3" t="s">
        <v>65</v>
      </c>
      <c r="B3" s="2" t="s">
        <v>49</v>
      </c>
      <c r="C3">
        <v>372</v>
      </c>
      <c r="D3" t="s">
        <v>17</v>
      </c>
      <c r="E3" t="s">
        <v>7</v>
      </c>
      <c r="F3" t="s">
        <v>58</v>
      </c>
      <c r="G3" t="s">
        <v>12</v>
      </c>
      <c r="H3" t="s">
        <v>76</v>
      </c>
      <c r="I3">
        <v>100</v>
      </c>
      <c r="J3">
        <v>1</v>
      </c>
      <c r="K3">
        <v>0</v>
      </c>
      <c r="L3" t="s">
        <v>87</v>
      </c>
      <c r="M3" t="s">
        <v>88</v>
      </c>
      <c r="N3" t="s">
        <v>89</v>
      </c>
      <c r="O3">
        <v>1</v>
      </c>
      <c r="T3" t="s">
        <v>90</v>
      </c>
    </row>
    <row r="4" spans="1:20" x14ac:dyDescent="0.2">
      <c r="A4" t="s">
        <v>67</v>
      </c>
      <c r="B4" s="2" t="s">
        <v>50</v>
      </c>
      <c r="C4">
        <v>331</v>
      </c>
      <c r="D4" t="s">
        <v>12</v>
      </c>
      <c r="E4" t="s">
        <v>16</v>
      </c>
      <c r="F4" t="s">
        <v>62</v>
      </c>
      <c r="G4" t="s">
        <v>18</v>
      </c>
      <c r="H4" t="s">
        <v>76</v>
      </c>
      <c r="I4">
        <v>32.700000000000003</v>
      </c>
      <c r="J4">
        <v>1</v>
      </c>
      <c r="K4">
        <v>0</v>
      </c>
      <c r="L4" t="s">
        <v>88</v>
      </c>
      <c r="M4" t="s">
        <v>88</v>
      </c>
      <c r="N4" t="s">
        <v>89</v>
      </c>
      <c r="P4">
        <v>1</v>
      </c>
      <c r="T4" t="s">
        <v>90</v>
      </c>
    </row>
    <row r="5" spans="1:20" x14ac:dyDescent="0.2">
      <c r="A5" t="s">
        <v>68</v>
      </c>
      <c r="B5" s="2" t="s">
        <v>51</v>
      </c>
      <c r="C5">
        <v>410</v>
      </c>
      <c r="D5" t="s">
        <v>4</v>
      </c>
      <c r="E5" t="s">
        <v>59</v>
      </c>
      <c r="F5" t="s">
        <v>62</v>
      </c>
      <c r="G5" t="s">
        <v>12</v>
      </c>
      <c r="H5" t="s">
        <v>76</v>
      </c>
      <c r="I5">
        <v>15</v>
      </c>
      <c r="J5">
        <v>1</v>
      </c>
      <c r="K5">
        <v>1</v>
      </c>
      <c r="L5" t="s">
        <v>88</v>
      </c>
      <c r="M5" t="s">
        <v>88</v>
      </c>
      <c r="N5" t="s">
        <v>88</v>
      </c>
      <c r="O5">
        <v>1</v>
      </c>
      <c r="T5" t="s">
        <v>91</v>
      </c>
    </row>
    <row r="6" spans="1:20" x14ac:dyDescent="0.2">
      <c r="A6" t="s">
        <v>69</v>
      </c>
      <c r="B6" s="2" t="s">
        <v>52</v>
      </c>
      <c r="C6">
        <v>395</v>
      </c>
      <c r="D6" t="s">
        <v>60</v>
      </c>
      <c r="E6" t="s">
        <v>11</v>
      </c>
      <c r="F6" t="s">
        <v>62</v>
      </c>
      <c r="G6" t="s">
        <v>18</v>
      </c>
      <c r="H6" t="s">
        <v>76</v>
      </c>
      <c r="I6">
        <v>17.5</v>
      </c>
      <c r="J6">
        <v>1</v>
      </c>
      <c r="K6">
        <v>1</v>
      </c>
      <c r="L6" t="s">
        <v>88</v>
      </c>
      <c r="M6" t="s">
        <v>88</v>
      </c>
      <c r="N6" t="s">
        <v>89</v>
      </c>
      <c r="O6">
        <v>1</v>
      </c>
      <c r="T6" t="s">
        <v>90</v>
      </c>
    </row>
    <row r="7" spans="1:20" x14ac:dyDescent="0.2">
      <c r="A7" t="s">
        <v>70</v>
      </c>
      <c r="B7" s="2" t="s">
        <v>53</v>
      </c>
      <c r="C7">
        <v>374</v>
      </c>
      <c r="D7" t="s">
        <v>24</v>
      </c>
      <c r="E7" t="s">
        <v>61</v>
      </c>
      <c r="F7" t="s">
        <v>92</v>
      </c>
      <c r="G7" t="s">
        <v>12</v>
      </c>
      <c r="H7" t="s">
        <v>76</v>
      </c>
      <c r="I7">
        <v>44.8</v>
      </c>
      <c r="J7">
        <v>1</v>
      </c>
      <c r="K7">
        <v>0</v>
      </c>
      <c r="L7" t="s">
        <v>87</v>
      </c>
      <c r="M7" t="s">
        <v>89</v>
      </c>
      <c r="N7" t="s">
        <v>89</v>
      </c>
      <c r="S7">
        <v>1</v>
      </c>
      <c r="T7" t="s">
        <v>90</v>
      </c>
    </row>
    <row r="8" spans="1:20" x14ac:dyDescent="0.2">
      <c r="A8" t="s">
        <v>71</v>
      </c>
      <c r="B8" s="2" t="s">
        <v>54</v>
      </c>
      <c r="C8">
        <v>419</v>
      </c>
      <c r="D8" t="s">
        <v>15</v>
      </c>
      <c r="E8" t="s">
        <v>26</v>
      </c>
      <c r="F8" t="s">
        <v>62</v>
      </c>
      <c r="G8" t="s">
        <v>12</v>
      </c>
      <c r="H8" t="s">
        <v>76</v>
      </c>
      <c r="I8">
        <v>94.5</v>
      </c>
      <c r="J8">
        <v>1</v>
      </c>
      <c r="K8">
        <v>0</v>
      </c>
      <c r="L8" t="s">
        <v>87</v>
      </c>
      <c r="M8" t="s">
        <v>89</v>
      </c>
      <c r="N8" t="s">
        <v>89</v>
      </c>
      <c r="S8">
        <v>1</v>
      </c>
      <c r="T8" t="s">
        <v>90</v>
      </c>
    </row>
    <row r="9" spans="1:20" x14ac:dyDescent="0.2">
      <c r="A9" t="s">
        <v>72</v>
      </c>
      <c r="B9" s="2" t="s">
        <v>55</v>
      </c>
      <c r="C9">
        <v>209</v>
      </c>
      <c r="D9" t="s">
        <v>24</v>
      </c>
      <c r="E9" t="s">
        <v>61</v>
      </c>
      <c r="F9" t="s">
        <v>92</v>
      </c>
      <c r="G9" t="s">
        <v>12</v>
      </c>
      <c r="H9" t="s">
        <v>76</v>
      </c>
      <c r="I9">
        <v>96</v>
      </c>
      <c r="J9">
        <v>1</v>
      </c>
      <c r="K9">
        <v>1</v>
      </c>
      <c r="L9" t="s">
        <v>88</v>
      </c>
      <c r="M9" t="s">
        <v>88</v>
      </c>
      <c r="N9" t="s">
        <v>89</v>
      </c>
      <c r="O9">
        <v>1</v>
      </c>
      <c r="T9" t="s">
        <v>90</v>
      </c>
    </row>
    <row r="10" spans="1:20" x14ac:dyDescent="0.2">
      <c r="B10" s="2"/>
    </row>
    <row r="11" spans="1:20" x14ac:dyDescent="0.2">
      <c r="B11" s="2"/>
    </row>
    <row r="12" spans="1:20" x14ac:dyDescent="0.2">
      <c r="B12" s="2"/>
    </row>
    <row r="13" spans="1:20" x14ac:dyDescent="0.2">
      <c r="B13" s="2"/>
    </row>
    <row r="14" spans="1:20" x14ac:dyDescent="0.2">
      <c r="B14" s="2"/>
    </row>
    <row r="15" spans="1:20" x14ac:dyDescent="0.2">
      <c r="B15" s="2"/>
    </row>
    <row r="16" spans="1:20" x14ac:dyDescent="0.2">
      <c r="B16" s="2"/>
      <c r="L16" s="3"/>
      <c r="M16" s="3"/>
      <c r="N16" s="3"/>
      <c r="P16" s="3"/>
      <c r="Q16" s="3"/>
      <c r="R16" s="3"/>
    </row>
    <row r="17" spans="1:18" x14ac:dyDescent="0.2">
      <c r="A17" s="3"/>
      <c r="B17" s="2"/>
      <c r="F17" s="3"/>
      <c r="G17" s="3"/>
      <c r="H17" s="3"/>
      <c r="I17" s="3"/>
      <c r="J17" s="3"/>
      <c r="L17" s="3"/>
      <c r="M17" s="3"/>
      <c r="N17" s="3"/>
      <c r="P17" s="3"/>
      <c r="Q17" s="3"/>
      <c r="R17" s="3"/>
    </row>
    <row r="18" spans="1:18" x14ac:dyDescent="0.2">
      <c r="A18" s="3"/>
      <c r="B18" s="2"/>
      <c r="F18" s="3"/>
      <c r="G18" s="3"/>
      <c r="H18" s="3"/>
      <c r="I18" s="3"/>
      <c r="J18" s="3"/>
      <c r="L18" s="3"/>
      <c r="M18" s="3"/>
      <c r="N18" s="3"/>
      <c r="P18" s="3"/>
      <c r="Q18" s="3"/>
      <c r="R18" s="3"/>
    </row>
    <row r="19" spans="1:18" x14ac:dyDescent="0.2">
      <c r="A19" s="4"/>
      <c r="B19" s="1"/>
      <c r="F19" s="3"/>
      <c r="G19" s="4"/>
      <c r="H19" s="4"/>
      <c r="I19" s="4"/>
      <c r="J19" s="4"/>
      <c r="L19" s="3"/>
      <c r="M19" s="3"/>
      <c r="N19" s="3"/>
      <c r="P19" s="3"/>
      <c r="Q19" s="3"/>
      <c r="R19" s="3"/>
    </row>
    <row r="20" spans="1:18" x14ac:dyDescent="0.2">
      <c r="A20" s="3"/>
      <c r="B20" s="1"/>
      <c r="F20" s="3"/>
      <c r="G20" s="3"/>
      <c r="H20" s="3"/>
      <c r="I20" s="3"/>
      <c r="J20" s="3"/>
      <c r="L20" s="3"/>
      <c r="M20" s="3"/>
      <c r="N20" s="3"/>
      <c r="P20" s="3"/>
      <c r="Q20" s="3"/>
      <c r="R20" s="3"/>
    </row>
    <row r="21" spans="1:18" x14ac:dyDescent="0.2">
      <c r="A21" s="3"/>
      <c r="F21" s="3"/>
      <c r="G21" s="3"/>
      <c r="H21" s="3"/>
      <c r="I21" s="3"/>
      <c r="J21" s="3"/>
      <c r="L21" s="3"/>
      <c r="M21" s="3"/>
      <c r="N21" s="3"/>
      <c r="P21" s="3"/>
      <c r="Q21" s="3"/>
      <c r="R21" s="3"/>
    </row>
    <row r="22" spans="1:18" x14ac:dyDescent="0.2">
      <c r="A22" s="3"/>
      <c r="F22" s="3"/>
      <c r="G22" s="3"/>
      <c r="H22" s="3"/>
      <c r="I22" s="3"/>
      <c r="J22" s="3"/>
      <c r="L22" s="3"/>
      <c r="M22" s="3"/>
      <c r="N22" s="3"/>
      <c r="P22" s="3"/>
      <c r="Q22" s="3"/>
      <c r="R22" s="3"/>
    </row>
    <row r="23" spans="1:18" x14ac:dyDescent="0.2">
      <c r="A23" s="3"/>
      <c r="F23" s="3"/>
      <c r="G23" s="3"/>
      <c r="H23" s="3"/>
      <c r="I23" s="3"/>
      <c r="J23" s="3"/>
      <c r="L23" s="3"/>
      <c r="M23" s="3"/>
      <c r="N23" s="3"/>
      <c r="P23" s="3"/>
      <c r="Q23" s="3"/>
      <c r="R23" s="3"/>
    </row>
    <row r="24" spans="1:18" x14ac:dyDescent="0.2">
      <c r="A24" s="3"/>
      <c r="F24" s="3"/>
      <c r="G24" s="3"/>
      <c r="H24" s="3"/>
      <c r="I24" s="3"/>
      <c r="J24" s="3"/>
      <c r="L24" s="3"/>
      <c r="M24" s="3"/>
      <c r="N24" s="3"/>
      <c r="P24" s="3"/>
      <c r="Q24" s="3"/>
      <c r="R24" s="3"/>
    </row>
    <row r="25" spans="1:18" x14ac:dyDescent="0.2">
      <c r="A25" s="3"/>
      <c r="F25" s="3"/>
      <c r="G25" s="3"/>
      <c r="H25" s="3"/>
      <c r="I25" s="3"/>
      <c r="J25" s="3"/>
      <c r="L25" s="3"/>
      <c r="M25" s="3"/>
      <c r="N25" s="3"/>
      <c r="P25" s="3"/>
      <c r="Q25" s="3"/>
      <c r="R25" s="3"/>
    </row>
    <row r="26" spans="1:18" x14ac:dyDescent="0.2">
      <c r="A26" s="3"/>
      <c r="F26" s="3"/>
      <c r="G26" s="3"/>
      <c r="H26" s="3"/>
      <c r="I26" s="3"/>
      <c r="J26" s="3"/>
      <c r="L26" s="3"/>
      <c r="M26" s="3"/>
      <c r="N26" s="3"/>
      <c r="P26" s="3"/>
      <c r="Q26" s="3"/>
      <c r="R26" s="3"/>
    </row>
    <row r="27" spans="1:18" x14ac:dyDescent="0.2">
      <c r="A27" s="3"/>
      <c r="F27" s="3"/>
      <c r="G27" s="3"/>
      <c r="H27" s="3"/>
      <c r="I27" s="3"/>
      <c r="J27" s="3"/>
      <c r="L27" s="3"/>
      <c r="M27" s="3"/>
      <c r="N27" s="3"/>
      <c r="P27" s="3"/>
      <c r="Q27" s="3"/>
      <c r="R27" s="3"/>
    </row>
    <row r="28" spans="1:18" x14ac:dyDescent="0.2">
      <c r="A28" s="3"/>
      <c r="F28" s="3"/>
      <c r="G28" s="3"/>
      <c r="H28" s="3"/>
      <c r="I28" s="3"/>
      <c r="J28" s="3"/>
      <c r="L28" s="3"/>
      <c r="M28" s="3"/>
      <c r="N28" s="3"/>
      <c r="P28" s="3"/>
      <c r="Q28" s="3"/>
      <c r="R28" s="3"/>
    </row>
    <row r="29" spans="1:18" x14ac:dyDescent="0.2">
      <c r="A29" s="3"/>
      <c r="F29" s="3"/>
      <c r="G29" s="3"/>
      <c r="H29" s="3"/>
      <c r="I29" s="3"/>
      <c r="J29" s="3"/>
      <c r="L29" s="3"/>
      <c r="M29" s="3"/>
      <c r="N29" s="3"/>
      <c r="P29" s="3"/>
      <c r="Q29" s="3"/>
      <c r="R29" s="3"/>
    </row>
    <row r="30" spans="1:18" x14ac:dyDescent="0.2">
      <c r="L30" s="3"/>
      <c r="M30" s="3"/>
      <c r="N30" s="3"/>
      <c r="P30" s="3"/>
      <c r="Q30" s="3"/>
      <c r="R30" s="3"/>
    </row>
    <row r="31" spans="1:18" x14ac:dyDescent="0.2">
      <c r="L31" s="3"/>
      <c r="M31" s="3"/>
      <c r="N31" s="3"/>
      <c r="P31" s="3"/>
      <c r="Q31" s="3"/>
      <c r="R31" s="3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0087-22C2-084E-95EF-C2D234CE5613}">
  <dimension ref="A1:H23"/>
  <sheetViews>
    <sheetView tabSelected="1" zoomScaleNormal="100" workbookViewId="0">
      <selection activeCell="F16" sqref="F16"/>
    </sheetView>
  </sheetViews>
  <sheetFormatPr baseColWidth="10" defaultRowHeight="16" x14ac:dyDescent="0.2"/>
  <sheetData>
    <row r="1" spans="1:8" x14ac:dyDescent="0.2">
      <c r="A1" t="s">
        <v>63</v>
      </c>
      <c r="B1" s="1" t="s">
        <v>111</v>
      </c>
      <c r="C1" t="s">
        <v>9</v>
      </c>
      <c r="D1" t="s">
        <v>56</v>
      </c>
      <c r="E1" t="s">
        <v>0</v>
      </c>
      <c r="F1" t="s">
        <v>57</v>
      </c>
      <c r="G1" t="s">
        <v>66</v>
      </c>
      <c r="H1" t="s">
        <v>157</v>
      </c>
    </row>
    <row r="2" spans="1:8" x14ac:dyDescent="0.2">
      <c r="A2" t="s">
        <v>64</v>
      </c>
      <c r="B2" s="2" t="s">
        <v>48</v>
      </c>
      <c r="C2">
        <v>282</v>
      </c>
      <c r="D2" t="s">
        <v>59</v>
      </c>
      <c r="E2" t="s">
        <v>7</v>
      </c>
      <c r="F2" t="s">
        <v>158</v>
      </c>
      <c r="G2">
        <v>86.3</v>
      </c>
      <c r="H2" t="str" cm="1">
        <f t="array" ref="H2:H9">F2:F9</f>
        <v>Frameshift</v>
      </c>
    </row>
    <row r="3" spans="1:8" x14ac:dyDescent="0.2">
      <c r="A3" t="s">
        <v>65</v>
      </c>
      <c r="B3" s="2" t="s">
        <v>49</v>
      </c>
      <c r="C3">
        <v>372</v>
      </c>
      <c r="D3" t="s">
        <v>17</v>
      </c>
      <c r="E3" t="s">
        <v>7</v>
      </c>
      <c r="F3" t="s">
        <v>158</v>
      </c>
      <c r="G3">
        <v>100</v>
      </c>
      <c r="H3" t="str">
        <v>Frameshift</v>
      </c>
    </row>
    <row r="4" spans="1:8" x14ac:dyDescent="0.2">
      <c r="A4" t="s">
        <v>67</v>
      </c>
      <c r="B4" s="2" t="s">
        <v>50</v>
      </c>
      <c r="C4">
        <v>331</v>
      </c>
      <c r="D4" t="s">
        <v>12</v>
      </c>
      <c r="E4" t="s">
        <v>16</v>
      </c>
      <c r="F4" t="s">
        <v>159</v>
      </c>
      <c r="G4">
        <v>32.700000000000003</v>
      </c>
      <c r="H4" t="str">
        <v>Missense</v>
      </c>
    </row>
    <row r="5" spans="1:8" x14ac:dyDescent="0.2">
      <c r="A5" t="s">
        <v>68</v>
      </c>
      <c r="B5" s="2" t="s">
        <v>51</v>
      </c>
      <c r="C5">
        <v>410</v>
      </c>
      <c r="D5" t="s">
        <v>4</v>
      </c>
      <c r="E5" t="s">
        <v>59</v>
      </c>
      <c r="F5" t="s">
        <v>159</v>
      </c>
      <c r="G5">
        <v>15</v>
      </c>
      <c r="H5" t="str">
        <v>Missense</v>
      </c>
    </row>
    <row r="6" spans="1:8" x14ac:dyDescent="0.2">
      <c r="A6" t="s">
        <v>69</v>
      </c>
      <c r="B6" s="2" t="s">
        <v>52</v>
      </c>
      <c r="C6">
        <v>395</v>
      </c>
      <c r="D6" t="s">
        <v>60</v>
      </c>
      <c r="E6" t="s">
        <v>11</v>
      </c>
      <c r="F6" t="s">
        <v>159</v>
      </c>
      <c r="G6">
        <v>17.5</v>
      </c>
      <c r="H6" t="str">
        <v>Missense</v>
      </c>
    </row>
    <row r="7" spans="1:8" x14ac:dyDescent="0.2">
      <c r="A7" t="s">
        <v>70</v>
      </c>
      <c r="B7" s="2" t="s">
        <v>53</v>
      </c>
      <c r="C7">
        <v>374</v>
      </c>
      <c r="D7" t="s">
        <v>24</v>
      </c>
      <c r="E7" t="s">
        <v>61</v>
      </c>
      <c r="F7" s="7" t="s">
        <v>161</v>
      </c>
      <c r="G7">
        <v>44.8</v>
      </c>
      <c r="H7" t="str">
        <v>Stop</v>
      </c>
    </row>
    <row r="8" spans="1:8" x14ac:dyDescent="0.2">
      <c r="A8" t="s">
        <v>71</v>
      </c>
      <c r="B8" s="2" t="s">
        <v>54</v>
      </c>
      <c r="C8">
        <v>419</v>
      </c>
      <c r="D8" t="s">
        <v>15</v>
      </c>
      <c r="E8" t="s">
        <v>26</v>
      </c>
      <c r="F8" t="s">
        <v>159</v>
      </c>
      <c r="G8">
        <v>94.5</v>
      </c>
      <c r="H8" t="str">
        <v>Missense</v>
      </c>
    </row>
    <row r="9" spans="1:8" x14ac:dyDescent="0.2">
      <c r="A9" t="s">
        <v>72</v>
      </c>
      <c r="B9" s="2" t="s">
        <v>55</v>
      </c>
      <c r="C9">
        <v>209</v>
      </c>
      <c r="D9" t="s">
        <v>24</v>
      </c>
      <c r="E9" t="s">
        <v>61</v>
      </c>
      <c r="F9" s="7" t="s">
        <v>161</v>
      </c>
      <c r="G9">
        <v>96</v>
      </c>
      <c r="H9" t="str">
        <v>Stop</v>
      </c>
    </row>
    <row r="10" spans="1:8" x14ac:dyDescent="0.2">
      <c r="B10" s="1"/>
    </row>
    <row r="11" spans="1:8" x14ac:dyDescent="0.2">
      <c r="B11" s="1"/>
    </row>
    <row r="15" spans="1:8" x14ac:dyDescent="0.2">
      <c r="B15" s="7"/>
      <c r="C15" s="7"/>
      <c r="D15" s="7"/>
      <c r="E15" s="7"/>
      <c r="F15" s="7"/>
      <c r="G15" s="7"/>
    </row>
    <row r="16" spans="1:8" x14ac:dyDescent="0.2">
      <c r="B16" s="7"/>
      <c r="C16" s="7"/>
      <c r="D16" s="7"/>
      <c r="E16" s="7"/>
      <c r="F16" s="7"/>
      <c r="G16" s="7"/>
    </row>
    <row r="17" spans="2:7" x14ac:dyDescent="0.2">
      <c r="B17" s="7"/>
      <c r="C17" s="7"/>
      <c r="D17" s="7"/>
      <c r="E17" s="7"/>
      <c r="F17" s="7"/>
      <c r="G17" s="7"/>
    </row>
    <row r="18" spans="2:7" x14ac:dyDescent="0.2">
      <c r="B18" s="7"/>
      <c r="C18" s="7"/>
      <c r="D18" s="7"/>
      <c r="E18" s="7"/>
      <c r="F18" s="7"/>
      <c r="G18" s="7"/>
    </row>
    <row r="19" spans="2:7" x14ac:dyDescent="0.2">
      <c r="B19" s="7"/>
      <c r="C19" s="7"/>
      <c r="D19" s="7"/>
      <c r="E19" s="7"/>
      <c r="F19" s="7"/>
      <c r="G19" s="7"/>
    </row>
    <row r="20" spans="2:7" x14ac:dyDescent="0.2">
      <c r="B20" s="7"/>
      <c r="C20" s="7"/>
      <c r="D20" s="7"/>
      <c r="E20" s="7"/>
      <c r="F20" s="7"/>
      <c r="G20" s="7"/>
    </row>
    <row r="21" spans="2:7" x14ac:dyDescent="0.2">
      <c r="B21" s="7"/>
      <c r="C21" s="7"/>
      <c r="D21" s="7"/>
      <c r="E21" s="7"/>
      <c r="F21" s="7"/>
      <c r="G21" s="7"/>
    </row>
    <row r="22" spans="2:7" x14ac:dyDescent="0.2">
      <c r="B22" s="7"/>
      <c r="C22" s="7"/>
      <c r="D22" s="7"/>
      <c r="E22" s="7"/>
      <c r="F22" s="7"/>
      <c r="G22" s="7"/>
    </row>
    <row r="23" spans="2:7" x14ac:dyDescent="0.2">
      <c r="B23" s="7"/>
      <c r="C23" s="7"/>
      <c r="D23" s="7"/>
      <c r="E23" s="7"/>
      <c r="F23" s="7"/>
      <c r="G23" s="7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C8F8-EB22-6B44-8D0A-890DD8AD64F7}">
  <dimension ref="A1:H52"/>
  <sheetViews>
    <sheetView workbookViewId="0">
      <selection activeCell="D11" sqref="D11"/>
    </sheetView>
  </sheetViews>
  <sheetFormatPr baseColWidth="10" defaultRowHeight="16" x14ac:dyDescent="0.2"/>
  <cols>
    <col min="3" max="3" width="12" customWidth="1"/>
  </cols>
  <sheetData>
    <row r="1" spans="1:8" x14ac:dyDescent="0.2">
      <c r="A1" t="s">
        <v>111</v>
      </c>
      <c r="B1" t="s">
        <v>9</v>
      </c>
      <c r="C1" t="s">
        <v>56</v>
      </c>
      <c r="D1" t="s">
        <v>0</v>
      </c>
      <c r="E1" t="s">
        <v>57</v>
      </c>
      <c r="G1" t="s">
        <v>1</v>
      </c>
      <c r="H1" t="s">
        <v>157</v>
      </c>
    </row>
    <row r="2" spans="1:8" x14ac:dyDescent="0.2">
      <c r="A2" s="6" t="s">
        <v>121</v>
      </c>
      <c r="B2">
        <v>511</v>
      </c>
      <c r="C2" t="s">
        <v>113</v>
      </c>
      <c r="D2" t="s">
        <v>114</v>
      </c>
      <c r="E2" t="s">
        <v>162</v>
      </c>
      <c r="G2" t="s">
        <v>112</v>
      </c>
      <c r="H2" t="str">
        <f t="shared" ref="H2:H38" si="0">E2</f>
        <v>In-frame deletion</v>
      </c>
    </row>
    <row r="3" spans="1:8" x14ac:dyDescent="0.2">
      <c r="A3" t="s">
        <v>38</v>
      </c>
      <c r="B3">
        <v>322</v>
      </c>
      <c r="C3" t="s">
        <v>20</v>
      </c>
      <c r="D3" t="s">
        <v>21</v>
      </c>
      <c r="E3" t="s">
        <v>159</v>
      </c>
      <c r="G3" t="s">
        <v>10</v>
      </c>
      <c r="H3" t="str">
        <f t="shared" si="0"/>
        <v>Missense</v>
      </c>
    </row>
    <row r="4" spans="1:8" x14ac:dyDescent="0.2">
      <c r="A4" s="5" t="s">
        <v>116</v>
      </c>
      <c r="B4">
        <v>322</v>
      </c>
      <c r="C4" t="s">
        <v>20</v>
      </c>
      <c r="D4" t="s">
        <v>16</v>
      </c>
      <c r="E4" t="s">
        <v>159</v>
      </c>
      <c r="G4" t="s">
        <v>112</v>
      </c>
      <c r="H4" t="str">
        <f t="shared" si="0"/>
        <v>Missense</v>
      </c>
    </row>
    <row r="5" spans="1:8" x14ac:dyDescent="0.2">
      <c r="A5" s="5" t="s">
        <v>125</v>
      </c>
      <c r="B5">
        <v>298</v>
      </c>
      <c r="C5" t="s">
        <v>59</v>
      </c>
      <c r="D5" t="s">
        <v>61</v>
      </c>
      <c r="E5" t="s">
        <v>161</v>
      </c>
      <c r="G5" t="s">
        <v>112</v>
      </c>
      <c r="H5" t="str">
        <f t="shared" si="0"/>
        <v>Stop</v>
      </c>
    </row>
    <row r="6" spans="1:8" x14ac:dyDescent="0.2">
      <c r="A6" t="s">
        <v>40</v>
      </c>
      <c r="B6">
        <v>368</v>
      </c>
      <c r="C6" t="s">
        <v>22</v>
      </c>
      <c r="D6" t="s">
        <v>7</v>
      </c>
      <c r="E6" t="s">
        <v>158</v>
      </c>
      <c r="G6" t="s">
        <v>10</v>
      </c>
      <c r="H6" t="str">
        <f t="shared" si="0"/>
        <v>Frameshift</v>
      </c>
    </row>
    <row r="7" spans="1:8" x14ac:dyDescent="0.2">
      <c r="A7" s="6" t="s">
        <v>118</v>
      </c>
      <c r="B7">
        <v>395</v>
      </c>
      <c r="C7" t="s">
        <v>18</v>
      </c>
      <c r="D7" t="s">
        <v>7</v>
      </c>
      <c r="E7" t="s">
        <v>158</v>
      </c>
      <c r="G7" t="s">
        <v>112</v>
      </c>
      <c r="H7" t="str">
        <f t="shared" si="0"/>
        <v>Frameshift</v>
      </c>
    </row>
    <row r="8" spans="1:8" x14ac:dyDescent="0.2">
      <c r="A8" t="s">
        <v>124</v>
      </c>
      <c r="B8">
        <v>180</v>
      </c>
      <c r="C8" t="s">
        <v>17</v>
      </c>
      <c r="D8" t="s">
        <v>61</v>
      </c>
      <c r="E8" t="s">
        <v>161</v>
      </c>
      <c r="G8" t="s">
        <v>23</v>
      </c>
      <c r="H8" t="str">
        <f t="shared" si="0"/>
        <v>Stop</v>
      </c>
    </row>
    <row r="9" spans="1:8" x14ac:dyDescent="0.2">
      <c r="A9" s="5" t="s">
        <v>124</v>
      </c>
      <c r="B9">
        <v>180</v>
      </c>
      <c r="C9" t="s">
        <v>17</v>
      </c>
      <c r="D9" t="s">
        <v>61</v>
      </c>
      <c r="E9" t="s">
        <v>161</v>
      </c>
      <c r="G9" t="s">
        <v>112</v>
      </c>
      <c r="H9" t="str">
        <f t="shared" si="0"/>
        <v>Stop</v>
      </c>
    </row>
    <row r="10" spans="1:8" x14ac:dyDescent="0.2">
      <c r="A10" t="s">
        <v>35</v>
      </c>
      <c r="B10">
        <v>566</v>
      </c>
      <c r="C10" t="s">
        <v>17</v>
      </c>
      <c r="D10" t="s">
        <v>7</v>
      </c>
      <c r="E10" t="s">
        <v>158</v>
      </c>
      <c r="G10" t="s">
        <v>10</v>
      </c>
      <c r="H10" t="str">
        <f t="shared" si="0"/>
        <v>Frameshift</v>
      </c>
    </row>
    <row r="11" spans="1:8" x14ac:dyDescent="0.2">
      <c r="A11" s="5" t="s">
        <v>120</v>
      </c>
      <c r="B11">
        <v>487</v>
      </c>
      <c r="C11" t="s">
        <v>18</v>
      </c>
      <c r="D11" t="s">
        <v>15</v>
      </c>
      <c r="E11" t="s">
        <v>159</v>
      </c>
      <c r="G11" t="s">
        <v>112</v>
      </c>
      <c r="H11" t="str">
        <f t="shared" si="0"/>
        <v>Missense</v>
      </c>
    </row>
    <row r="12" spans="1:8" x14ac:dyDescent="0.2">
      <c r="A12" t="s">
        <v>36</v>
      </c>
      <c r="B12">
        <v>487</v>
      </c>
      <c r="C12" t="s">
        <v>18</v>
      </c>
      <c r="D12" t="s">
        <v>19</v>
      </c>
      <c r="E12" t="s">
        <v>159</v>
      </c>
      <c r="G12" t="s">
        <v>10</v>
      </c>
      <c r="H12" t="str">
        <f t="shared" si="0"/>
        <v>Missense</v>
      </c>
    </row>
    <row r="13" spans="1:8" x14ac:dyDescent="0.2">
      <c r="A13" t="s">
        <v>45</v>
      </c>
      <c r="B13">
        <v>52</v>
      </c>
      <c r="C13" t="s">
        <v>18</v>
      </c>
      <c r="D13" t="s">
        <v>7</v>
      </c>
      <c r="E13" t="s">
        <v>158</v>
      </c>
      <c r="G13" t="s">
        <v>23</v>
      </c>
      <c r="H13" t="str">
        <f t="shared" si="0"/>
        <v>Frameshift</v>
      </c>
    </row>
    <row r="14" spans="1:8" x14ac:dyDescent="0.2">
      <c r="A14" s="5" t="s">
        <v>45</v>
      </c>
      <c r="B14">
        <v>52</v>
      </c>
      <c r="C14" t="s">
        <v>18</v>
      </c>
      <c r="D14" t="s">
        <v>7</v>
      </c>
      <c r="E14" t="s">
        <v>158</v>
      </c>
      <c r="G14" t="s">
        <v>112</v>
      </c>
      <c r="H14" t="str">
        <f t="shared" si="0"/>
        <v>Frameshift</v>
      </c>
    </row>
    <row r="15" spans="1:8" x14ac:dyDescent="0.2">
      <c r="A15" t="s">
        <v>32</v>
      </c>
      <c r="B15">
        <v>214</v>
      </c>
      <c r="C15" t="s">
        <v>11</v>
      </c>
      <c r="D15" t="s">
        <v>7</v>
      </c>
      <c r="E15" t="s">
        <v>158</v>
      </c>
      <c r="G15" t="s">
        <v>10</v>
      </c>
      <c r="H15" t="str">
        <f t="shared" si="0"/>
        <v>Frameshift</v>
      </c>
    </row>
    <row r="16" spans="1:8" x14ac:dyDescent="0.2">
      <c r="A16" s="5" t="s">
        <v>32</v>
      </c>
      <c r="B16">
        <v>214</v>
      </c>
      <c r="C16" t="s">
        <v>11</v>
      </c>
      <c r="D16" t="s">
        <v>7</v>
      </c>
      <c r="E16" t="s">
        <v>158</v>
      </c>
      <c r="G16" t="s">
        <v>112</v>
      </c>
      <c r="H16" t="str">
        <f t="shared" si="0"/>
        <v>Frameshift</v>
      </c>
    </row>
    <row r="17" spans="1:8" x14ac:dyDescent="0.2">
      <c r="A17" t="s">
        <v>44</v>
      </c>
      <c r="B17">
        <v>415</v>
      </c>
      <c r="C17" t="s">
        <v>11</v>
      </c>
      <c r="D17" t="s">
        <v>16</v>
      </c>
      <c r="E17" t="s">
        <v>159</v>
      </c>
      <c r="G17" t="s">
        <v>23</v>
      </c>
      <c r="H17" t="str">
        <f t="shared" si="0"/>
        <v>Missense</v>
      </c>
    </row>
    <row r="18" spans="1:8" x14ac:dyDescent="0.2">
      <c r="A18" s="5" t="s">
        <v>44</v>
      </c>
      <c r="B18">
        <v>415</v>
      </c>
      <c r="C18" t="s">
        <v>11</v>
      </c>
      <c r="D18" t="s">
        <v>16</v>
      </c>
      <c r="E18" t="s">
        <v>159</v>
      </c>
      <c r="G18" t="s">
        <v>112</v>
      </c>
      <c r="H18" t="str">
        <f t="shared" si="0"/>
        <v>Missense</v>
      </c>
    </row>
    <row r="19" spans="1:8" x14ac:dyDescent="0.2">
      <c r="A19" t="s">
        <v>29</v>
      </c>
      <c r="B19">
        <v>342</v>
      </c>
      <c r="C19" t="s">
        <v>5</v>
      </c>
      <c r="D19" t="s">
        <v>6</v>
      </c>
      <c r="E19" t="s">
        <v>160</v>
      </c>
      <c r="G19" t="s">
        <v>2</v>
      </c>
      <c r="H19" t="str">
        <f t="shared" si="0"/>
        <v>Splice</v>
      </c>
    </row>
    <row r="20" spans="1:8" x14ac:dyDescent="0.2">
      <c r="A20" t="s">
        <v>39</v>
      </c>
      <c r="B20">
        <v>452</v>
      </c>
      <c r="C20" t="s">
        <v>5</v>
      </c>
      <c r="D20" t="s">
        <v>17</v>
      </c>
      <c r="E20" t="s">
        <v>159</v>
      </c>
      <c r="G20" t="s">
        <v>10</v>
      </c>
      <c r="H20" t="str">
        <f t="shared" si="0"/>
        <v>Missense</v>
      </c>
    </row>
    <row r="21" spans="1:8" x14ac:dyDescent="0.2">
      <c r="A21" t="s">
        <v>34</v>
      </c>
      <c r="B21">
        <v>495</v>
      </c>
      <c r="C21" t="s">
        <v>15</v>
      </c>
      <c r="D21" t="s">
        <v>16</v>
      </c>
      <c r="E21" t="s">
        <v>159</v>
      </c>
      <c r="G21" t="s">
        <v>10</v>
      </c>
      <c r="H21" t="str">
        <f t="shared" si="0"/>
        <v>Missense</v>
      </c>
    </row>
    <row r="22" spans="1:8" x14ac:dyDescent="0.2">
      <c r="A22" s="5" t="s">
        <v>34</v>
      </c>
      <c r="B22">
        <v>495</v>
      </c>
      <c r="C22" t="s">
        <v>15</v>
      </c>
      <c r="D22" t="s">
        <v>16</v>
      </c>
      <c r="E22" t="s">
        <v>159</v>
      </c>
      <c r="G22" t="s">
        <v>112</v>
      </c>
      <c r="H22" t="str">
        <f t="shared" si="0"/>
        <v>Missense</v>
      </c>
    </row>
    <row r="23" spans="1:8" x14ac:dyDescent="0.2">
      <c r="A23" t="s">
        <v>46</v>
      </c>
      <c r="B23">
        <v>330</v>
      </c>
      <c r="C23" t="s">
        <v>12</v>
      </c>
      <c r="D23" t="s">
        <v>5</v>
      </c>
      <c r="E23" t="s">
        <v>159</v>
      </c>
      <c r="G23" t="s">
        <v>23</v>
      </c>
      <c r="H23" t="str">
        <f t="shared" si="0"/>
        <v>Missense</v>
      </c>
    </row>
    <row r="24" spans="1:8" x14ac:dyDescent="0.2">
      <c r="A24" s="5" t="s">
        <v>46</v>
      </c>
      <c r="B24">
        <v>330</v>
      </c>
      <c r="C24" t="s">
        <v>12</v>
      </c>
      <c r="D24" t="s">
        <v>5</v>
      </c>
      <c r="E24" t="s">
        <v>159</v>
      </c>
      <c r="G24" t="s">
        <v>112</v>
      </c>
      <c r="H24" t="str">
        <f t="shared" si="0"/>
        <v>Missense</v>
      </c>
    </row>
    <row r="25" spans="1:8" x14ac:dyDescent="0.2">
      <c r="A25" t="s">
        <v>33</v>
      </c>
      <c r="B25">
        <v>330</v>
      </c>
      <c r="C25" t="s">
        <v>12</v>
      </c>
      <c r="D25" t="s">
        <v>13</v>
      </c>
      <c r="E25" t="s">
        <v>159</v>
      </c>
      <c r="G25" t="s">
        <v>10</v>
      </c>
      <c r="H25" t="str">
        <f t="shared" si="0"/>
        <v>Missense</v>
      </c>
    </row>
    <row r="26" spans="1:8" x14ac:dyDescent="0.2">
      <c r="A26" s="5" t="s">
        <v>115</v>
      </c>
      <c r="B26">
        <v>167</v>
      </c>
      <c r="C26" t="s">
        <v>25</v>
      </c>
      <c r="D26" t="s">
        <v>7</v>
      </c>
      <c r="E26" t="s">
        <v>158</v>
      </c>
      <c r="G26" t="s">
        <v>112</v>
      </c>
      <c r="H26" t="str">
        <f t="shared" si="0"/>
        <v>Frameshift</v>
      </c>
    </row>
    <row r="27" spans="1:8" x14ac:dyDescent="0.2">
      <c r="A27" s="5" t="s">
        <v>115</v>
      </c>
      <c r="B27">
        <v>167</v>
      </c>
      <c r="C27" t="s">
        <v>25</v>
      </c>
      <c r="D27" t="s">
        <v>7</v>
      </c>
      <c r="E27" t="s">
        <v>158</v>
      </c>
      <c r="G27" t="s">
        <v>112</v>
      </c>
      <c r="H27" t="str">
        <f t="shared" si="0"/>
        <v>Frameshift</v>
      </c>
    </row>
    <row r="28" spans="1:8" x14ac:dyDescent="0.2">
      <c r="A28" t="s">
        <v>42</v>
      </c>
      <c r="B28">
        <v>324</v>
      </c>
      <c r="C28" t="s">
        <v>25</v>
      </c>
      <c r="D28" t="s">
        <v>24</v>
      </c>
      <c r="E28" t="s">
        <v>159</v>
      </c>
      <c r="G28" t="s">
        <v>23</v>
      </c>
      <c r="H28" t="str">
        <f t="shared" si="0"/>
        <v>Missense</v>
      </c>
    </row>
    <row r="29" spans="1:8" x14ac:dyDescent="0.2">
      <c r="A29" s="5" t="s">
        <v>42</v>
      </c>
      <c r="B29">
        <v>324</v>
      </c>
      <c r="C29" t="s">
        <v>25</v>
      </c>
      <c r="D29" t="s">
        <v>24</v>
      </c>
      <c r="E29" t="s">
        <v>159</v>
      </c>
      <c r="G29" t="s">
        <v>112</v>
      </c>
      <c r="H29" t="str">
        <f t="shared" si="0"/>
        <v>Missense</v>
      </c>
    </row>
    <row r="30" spans="1:8" x14ac:dyDescent="0.2">
      <c r="A30" t="s">
        <v>41</v>
      </c>
      <c r="B30">
        <v>417</v>
      </c>
      <c r="C30" t="s">
        <v>24</v>
      </c>
      <c r="D30" t="s">
        <v>7</v>
      </c>
      <c r="E30" t="s">
        <v>158</v>
      </c>
      <c r="G30" t="s">
        <v>23</v>
      </c>
      <c r="H30" t="str">
        <f t="shared" si="0"/>
        <v>Frameshift</v>
      </c>
    </row>
    <row r="31" spans="1:8" x14ac:dyDescent="0.2">
      <c r="A31" t="s">
        <v>41</v>
      </c>
      <c r="B31">
        <v>417</v>
      </c>
      <c r="C31" t="s">
        <v>24</v>
      </c>
      <c r="D31" t="s">
        <v>7</v>
      </c>
      <c r="E31" t="s">
        <v>158</v>
      </c>
      <c r="G31" t="s">
        <v>23</v>
      </c>
      <c r="H31" t="str">
        <f t="shared" si="0"/>
        <v>Frameshift</v>
      </c>
    </row>
    <row r="32" spans="1:8" x14ac:dyDescent="0.2">
      <c r="A32" s="5" t="s">
        <v>41</v>
      </c>
      <c r="B32">
        <v>417</v>
      </c>
      <c r="C32" t="s">
        <v>24</v>
      </c>
      <c r="D32" t="s">
        <v>7</v>
      </c>
      <c r="E32" t="s">
        <v>158</v>
      </c>
      <c r="G32" t="s">
        <v>112</v>
      </c>
      <c r="H32" t="str">
        <f t="shared" si="0"/>
        <v>Frameshift</v>
      </c>
    </row>
    <row r="33" spans="1:8" x14ac:dyDescent="0.2">
      <c r="A33" s="5" t="s">
        <v>41</v>
      </c>
      <c r="B33">
        <v>417</v>
      </c>
      <c r="C33" t="s">
        <v>24</v>
      </c>
      <c r="D33" t="s">
        <v>7</v>
      </c>
      <c r="E33" t="s">
        <v>158</v>
      </c>
      <c r="G33" t="s">
        <v>112</v>
      </c>
      <c r="H33" t="str">
        <f t="shared" si="0"/>
        <v>Frameshift</v>
      </c>
    </row>
    <row r="34" spans="1:8" x14ac:dyDescent="0.2">
      <c r="A34" t="s">
        <v>43</v>
      </c>
      <c r="B34">
        <v>333</v>
      </c>
      <c r="C34" t="s">
        <v>26</v>
      </c>
      <c r="D34" t="s">
        <v>27</v>
      </c>
      <c r="E34" t="s">
        <v>159</v>
      </c>
      <c r="G34" t="s">
        <v>23</v>
      </c>
      <c r="H34" t="str">
        <f t="shared" si="0"/>
        <v>Missense</v>
      </c>
    </row>
    <row r="35" spans="1:8" x14ac:dyDescent="0.2">
      <c r="A35" s="5" t="s">
        <v>43</v>
      </c>
      <c r="B35">
        <v>333</v>
      </c>
      <c r="C35" t="s">
        <v>26</v>
      </c>
      <c r="D35" t="s">
        <v>27</v>
      </c>
      <c r="E35" t="s">
        <v>159</v>
      </c>
      <c r="G35" t="s">
        <v>112</v>
      </c>
      <c r="H35" t="str">
        <f t="shared" si="0"/>
        <v>Missense</v>
      </c>
    </row>
    <row r="36" spans="1:8" x14ac:dyDescent="0.2">
      <c r="A36" t="s">
        <v>123</v>
      </c>
      <c r="B36">
        <v>24</v>
      </c>
      <c r="C36" t="s">
        <v>4</v>
      </c>
      <c r="D36" t="s">
        <v>61</v>
      </c>
      <c r="E36" t="s">
        <v>161</v>
      </c>
      <c r="G36" t="s">
        <v>2</v>
      </c>
      <c r="H36" t="str">
        <f t="shared" si="0"/>
        <v>Stop</v>
      </c>
    </row>
    <row r="37" spans="1:8" x14ac:dyDescent="0.2">
      <c r="A37" t="s">
        <v>123</v>
      </c>
      <c r="B37">
        <v>24</v>
      </c>
      <c r="C37" t="s">
        <v>4</v>
      </c>
      <c r="D37" t="s">
        <v>61</v>
      </c>
      <c r="E37" t="s">
        <v>161</v>
      </c>
      <c r="G37" t="s">
        <v>23</v>
      </c>
      <c r="H37" t="str">
        <f t="shared" si="0"/>
        <v>Stop</v>
      </c>
    </row>
    <row r="38" spans="1:8" x14ac:dyDescent="0.2">
      <c r="A38" s="5" t="s">
        <v>123</v>
      </c>
      <c r="B38">
        <v>24</v>
      </c>
      <c r="C38" t="s">
        <v>4</v>
      </c>
      <c r="D38" t="s">
        <v>61</v>
      </c>
      <c r="E38" t="s">
        <v>161</v>
      </c>
      <c r="G38" t="s">
        <v>112</v>
      </c>
      <c r="H38" t="str">
        <f t="shared" si="0"/>
        <v>Stop</v>
      </c>
    </row>
    <row r="39" spans="1:8" x14ac:dyDescent="0.2">
      <c r="A39" t="s">
        <v>47</v>
      </c>
      <c r="B39">
        <v>410</v>
      </c>
      <c r="C39" t="s">
        <v>4</v>
      </c>
      <c r="D39" t="s">
        <v>18</v>
      </c>
      <c r="E39" t="s">
        <v>159</v>
      </c>
      <c r="G39" t="s">
        <v>23</v>
      </c>
      <c r="H39" t="s">
        <v>156</v>
      </c>
    </row>
    <row r="40" spans="1:8" x14ac:dyDescent="0.2">
      <c r="A40" s="5" t="s">
        <v>47</v>
      </c>
      <c r="B40">
        <v>410</v>
      </c>
      <c r="C40" t="s">
        <v>4</v>
      </c>
      <c r="D40" t="s">
        <v>18</v>
      </c>
      <c r="E40" t="s">
        <v>159</v>
      </c>
      <c r="G40" t="s">
        <v>112</v>
      </c>
      <c r="H40" t="s">
        <v>156</v>
      </c>
    </row>
    <row r="41" spans="1:8" x14ac:dyDescent="0.2">
      <c r="A41" t="s">
        <v>30</v>
      </c>
      <c r="B41">
        <v>410</v>
      </c>
      <c r="C41" t="s">
        <v>4</v>
      </c>
      <c r="D41" t="s">
        <v>7</v>
      </c>
      <c r="E41" t="s">
        <v>158</v>
      </c>
      <c r="G41" t="s">
        <v>2</v>
      </c>
      <c r="H41" t="s">
        <v>156</v>
      </c>
    </row>
    <row r="42" spans="1:8" x14ac:dyDescent="0.2">
      <c r="A42" t="s">
        <v>30</v>
      </c>
      <c r="B42">
        <v>410</v>
      </c>
      <c r="C42" t="s">
        <v>4</v>
      </c>
      <c r="D42" t="s">
        <v>7</v>
      </c>
      <c r="E42" t="s">
        <v>158</v>
      </c>
      <c r="G42" t="s">
        <v>23</v>
      </c>
      <c r="H42" t="s">
        <v>156</v>
      </c>
    </row>
    <row r="43" spans="1:8" x14ac:dyDescent="0.2">
      <c r="A43" s="5" t="s">
        <v>30</v>
      </c>
      <c r="B43">
        <v>410</v>
      </c>
      <c r="C43" t="s">
        <v>4</v>
      </c>
      <c r="D43" t="s">
        <v>7</v>
      </c>
      <c r="E43" t="s">
        <v>158</v>
      </c>
      <c r="G43" t="s">
        <v>112</v>
      </c>
      <c r="H43" t="s">
        <v>156</v>
      </c>
    </row>
    <row r="44" spans="1:8" x14ac:dyDescent="0.2">
      <c r="A44" t="s">
        <v>47</v>
      </c>
      <c r="B44">
        <v>410</v>
      </c>
      <c r="C44" t="s">
        <v>4</v>
      </c>
      <c r="D44" t="s">
        <v>14</v>
      </c>
      <c r="E44" t="s">
        <v>159</v>
      </c>
      <c r="G44" t="s">
        <v>10</v>
      </c>
      <c r="H44" t="s">
        <v>156</v>
      </c>
    </row>
    <row r="45" spans="1:8" x14ac:dyDescent="0.2">
      <c r="A45" t="s">
        <v>31</v>
      </c>
      <c r="B45">
        <v>456</v>
      </c>
      <c r="C45" t="s">
        <v>4</v>
      </c>
      <c r="D45" t="s">
        <v>7</v>
      </c>
      <c r="E45" t="s">
        <v>158</v>
      </c>
      <c r="G45" t="s">
        <v>10</v>
      </c>
      <c r="H45" t="str">
        <f t="shared" ref="H45:H52" si="1">E45</f>
        <v>Frameshift</v>
      </c>
    </row>
    <row r="46" spans="1:8" x14ac:dyDescent="0.2">
      <c r="A46" s="5" t="s">
        <v>31</v>
      </c>
      <c r="B46">
        <v>456</v>
      </c>
      <c r="C46" t="s">
        <v>4</v>
      </c>
      <c r="D46" t="s">
        <v>7</v>
      </c>
      <c r="E46" t="s">
        <v>158</v>
      </c>
      <c r="G46" t="s">
        <v>112</v>
      </c>
      <c r="H46" t="str">
        <f t="shared" si="1"/>
        <v>Frameshift</v>
      </c>
    </row>
    <row r="47" spans="1:8" x14ac:dyDescent="0.2">
      <c r="A47" s="6" t="s">
        <v>119</v>
      </c>
      <c r="B47">
        <v>429</v>
      </c>
      <c r="C47" t="s">
        <v>15</v>
      </c>
      <c r="D47" t="s">
        <v>7</v>
      </c>
      <c r="E47" t="s">
        <v>158</v>
      </c>
      <c r="G47" t="s">
        <v>112</v>
      </c>
      <c r="H47" t="str">
        <f t="shared" si="1"/>
        <v>Frameshift</v>
      </c>
    </row>
    <row r="48" spans="1:8" x14ac:dyDescent="0.2">
      <c r="A48" s="5" t="s">
        <v>117</v>
      </c>
      <c r="B48">
        <v>369</v>
      </c>
      <c r="C48" t="s">
        <v>60</v>
      </c>
      <c r="D48" t="s">
        <v>7</v>
      </c>
      <c r="E48" t="s">
        <v>158</v>
      </c>
      <c r="G48" t="s">
        <v>112</v>
      </c>
      <c r="H48" t="str">
        <f t="shared" si="1"/>
        <v>Frameshift</v>
      </c>
    </row>
    <row r="49" spans="1:8" x14ac:dyDescent="0.2">
      <c r="A49" s="5" t="s">
        <v>117</v>
      </c>
      <c r="B49">
        <v>369</v>
      </c>
      <c r="C49" t="s">
        <v>60</v>
      </c>
      <c r="D49" t="s">
        <v>7</v>
      </c>
      <c r="E49" t="s">
        <v>158</v>
      </c>
      <c r="G49" t="s">
        <v>112</v>
      </c>
      <c r="H49" t="str">
        <f t="shared" si="1"/>
        <v>Frameshift</v>
      </c>
    </row>
    <row r="50" spans="1:8" x14ac:dyDescent="0.2">
      <c r="A50" t="s">
        <v>37</v>
      </c>
      <c r="B50">
        <v>168</v>
      </c>
      <c r="C50" t="s">
        <v>16</v>
      </c>
      <c r="D50" t="s">
        <v>7</v>
      </c>
      <c r="E50" t="s">
        <v>158</v>
      </c>
      <c r="G50" t="s">
        <v>10</v>
      </c>
      <c r="H50" t="str">
        <f t="shared" si="1"/>
        <v>Frameshift</v>
      </c>
    </row>
    <row r="51" spans="1:8" x14ac:dyDescent="0.2">
      <c r="A51" s="5" t="s">
        <v>37</v>
      </c>
      <c r="B51">
        <v>168</v>
      </c>
      <c r="C51" t="s">
        <v>16</v>
      </c>
      <c r="D51" t="s">
        <v>7</v>
      </c>
      <c r="E51" t="s">
        <v>158</v>
      </c>
      <c r="G51" t="s">
        <v>112</v>
      </c>
      <c r="H51" t="str">
        <f t="shared" si="1"/>
        <v>Frameshift</v>
      </c>
    </row>
    <row r="52" spans="1:8" x14ac:dyDescent="0.2">
      <c r="A52" s="5" t="s">
        <v>122</v>
      </c>
      <c r="B52">
        <v>567</v>
      </c>
      <c r="C52" t="s">
        <v>16</v>
      </c>
      <c r="D52" t="s">
        <v>7</v>
      </c>
      <c r="E52" t="s">
        <v>158</v>
      </c>
      <c r="G52" t="s">
        <v>112</v>
      </c>
      <c r="H52" t="str">
        <f t="shared" si="1"/>
        <v>Frameshift</v>
      </c>
    </row>
  </sheetData>
  <autoFilter ref="A1:H52" xr:uid="{9FDCC8F8-EB22-6B44-8D0A-890DD8AD64F7}">
    <sortState xmlns:xlrd2="http://schemas.microsoft.com/office/spreadsheetml/2017/richdata2" ref="A2:H52">
      <sortCondition ref="A1:A52"/>
    </sortState>
  </autoFilter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1854-8ED9-A54C-9F4B-0588E886C6A7}">
  <dimension ref="A1:A3"/>
  <sheetViews>
    <sheetView workbookViewId="0">
      <selection activeCell="G15" sqref="G15"/>
    </sheetView>
  </sheetViews>
  <sheetFormatPr baseColWidth="10" defaultRowHeight="16" x14ac:dyDescent="0.2"/>
  <sheetData>
    <row r="1" spans="1:1" x14ac:dyDescent="0.2">
      <c r="A1" t="s">
        <v>3</v>
      </c>
    </row>
    <row r="2" spans="1:1" x14ac:dyDescent="0.2">
      <c r="A2" t="s">
        <v>8</v>
      </c>
    </row>
    <row r="3" spans="1:1" x14ac:dyDescent="0.2">
      <c r="A3" t="s">
        <v>28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0BD-1788-364D-878B-6BFA6E263C72}">
  <dimension ref="A1:F9"/>
  <sheetViews>
    <sheetView workbookViewId="0">
      <selection activeCell="B3" sqref="B3"/>
    </sheetView>
  </sheetViews>
  <sheetFormatPr baseColWidth="10" defaultRowHeight="16" x14ac:dyDescent="0.2"/>
  <cols>
    <col min="6" max="6" width="24.33203125" customWidth="1"/>
  </cols>
  <sheetData>
    <row r="1" spans="1:6" x14ac:dyDescent="0.2">
      <c r="A1" t="s">
        <v>73</v>
      </c>
      <c r="B1" t="s">
        <v>102</v>
      </c>
      <c r="C1" t="s">
        <v>95</v>
      </c>
      <c r="D1" t="s">
        <v>103</v>
      </c>
      <c r="E1" t="s">
        <v>96</v>
      </c>
      <c r="F1" t="s">
        <v>100</v>
      </c>
    </row>
    <row r="2" spans="1:6" x14ac:dyDescent="0.2">
      <c r="A2" t="s">
        <v>64</v>
      </c>
      <c r="B2" t="s">
        <v>94</v>
      </c>
      <c r="C2">
        <v>20</v>
      </c>
      <c r="D2" t="s">
        <v>94</v>
      </c>
      <c r="E2">
        <v>73</v>
      </c>
      <c r="F2" t="s">
        <v>97</v>
      </c>
    </row>
    <row r="3" spans="1:6" x14ac:dyDescent="0.2">
      <c r="A3" t="s">
        <v>65</v>
      </c>
      <c r="B3" t="s">
        <v>98</v>
      </c>
      <c r="C3">
        <v>1</v>
      </c>
      <c r="F3" t="s">
        <v>99</v>
      </c>
    </row>
    <row r="4" spans="1:6" x14ac:dyDescent="0.2">
      <c r="A4" t="s">
        <v>67</v>
      </c>
      <c r="B4" t="s">
        <v>101</v>
      </c>
      <c r="C4">
        <v>173</v>
      </c>
      <c r="D4" t="s">
        <v>104</v>
      </c>
      <c r="E4">
        <v>1</v>
      </c>
      <c r="F4" t="s">
        <v>105</v>
      </c>
    </row>
    <row r="5" spans="1:6" x14ac:dyDescent="0.2">
      <c r="A5" t="s">
        <v>68</v>
      </c>
      <c r="B5" t="s">
        <v>94</v>
      </c>
      <c r="C5">
        <v>31</v>
      </c>
      <c r="D5" t="s">
        <v>94</v>
      </c>
      <c r="E5">
        <v>100</v>
      </c>
      <c r="F5" t="s">
        <v>106</v>
      </c>
    </row>
    <row r="6" spans="1:6" x14ac:dyDescent="0.2">
      <c r="A6" t="s">
        <v>69</v>
      </c>
      <c r="B6" t="s">
        <v>101</v>
      </c>
      <c r="C6">
        <v>110</v>
      </c>
      <c r="F6" t="s">
        <v>107</v>
      </c>
    </row>
    <row r="7" spans="1:6" x14ac:dyDescent="0.2">
      <c r="A7" t="s">
        <v>70</v>
      </c>
      <c r="B7" t="s">
        <v>98</v>
      </c>
      <c r="C7">
        <v>2</v>
      </c>
      <c r="F7" t="s">
        <v>108</v>
      </c>
    </row>
    <row r="8" spans="1:6" x14ac:dyDescent="0.2">
      <c r="A8" t="s">
        <v>71</v>
      </c>
      <c r="B8" t="s">
        <v>98</v>
      </c>
      <c r="C8">
        <v>2</v>
      </c>
      <c r="F8" t="s">
        <v>109</v>
      </c>
    </row>
    <row r="9" spans="1:6" x14ac:dyDescent="0.2">
      <c r="A9" t="s">
        <v>72</v>
      </c>
      <c r="B9" t="s">
        <v>98</v>
      </c>
      <c r="C9">
        <v>2</v>
      </c>
      <c r="D9" t="s">
        <v>101</v>
      </c>
      <c r="F9" t="s">
        <v>110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15C0-3218-0C4E-9E22-9659B59903EE}">
  <sheetPr>
    <pageSetUpPr fitToPage="1"/>
  </sheetPr>
  <dimension ref="A1:I29"/>
  <sheetViews>
    <sheetView workbookViewId="0">
      <selection activeCell="D15" sqref="D15"/>
    </sheetView>
  </sheetViews>
  <sheetFormatPr baseColWidth="10" defaultRowHeight="16" x14ac:dyDescent="0.2"/>
  <cols>
    <col min="1" max="1" width="6.83203125" customWidth="1"/>
    <col min="2" max="2" width="4.33203125" customWidth="1"/>
    <col min="3" max="3" width="5.6640625" customWidth="1"/>
    <col min="4" max="4" width="27" customWidth="1"/>
    <col min="5" max="5" width="18.6640625" customWidth="1"/>
    <col min="6" max="6" width="5.33203125" customWidth="1"/>
    <col min="7" max="7" width="19.5" customWidth="1"/>
    <col min="8" max="8" width="14.5" style="8" customWidth="1"/>
    <col min="9" max="9" width="14.5" customWidth="1"/>
    <col min="10" max="10" width="18.5" customWidth="1"/>
  </cols>
  <sheetData>
    <row r="1" spans="1:9" x14ac:dyDescent="0.2">
      <c r="A1" s="9" t="s">
        <v>73</v>
      </c>
      <c r="B1" s="9" t="s">
        <v>126</v>
      </c>
      <c r="C1" s="9" t="s">
        <v>75</v>
      </c>
      <c r="D1" s="9" t="s">
        <v>132</v>
      </c>
      <c r="E1" s="9" t="s">
        <v>133</v>
      </c>
      <c r="F1" s="9" t="s">
        <v>129</v>
      </c>
      <c r="G1" s="9" t="s">
        <v>127</v>
      </c>
      <c r="H1" s="10" t="s">
        <v>128</v>
      </c>
      <c r="I1" t="s">
        <v>142</v>
      </c>
    </row>
    <row r="2" spans="1:9" x14ac:dyDescent="0.2">
      <c r="A2" s="9" t="s">
        <v>64</v>
      </c>
      <c r="B2" s="9" t="s">
        <v>12</v>
      </c>
      <c r="C2" s="9" t="s">
        <v>76</v>
      </c>
      <c r="D2" s="9" t="s">
        <v>130</v>
      </c>
      <c r="E2" s="9" t="s">
        <v>131</v>
      </c>
      <c r="F2" s="9">
        <v>9</v>
      </c>
      <c r="G2" s="9" t="s">
        <v>136</v>
      </c>
      <c r="H2" s="10">
        <v>0.86363599999999996</v>
      </c>
    </row>
    <row r="3" spans="1:9" x14ac:dyDescent="0.2">
      <c r="A3" s="9" t="s">
        <v>65</v>
      </c>
      <c r="B3" s="9" t="s">
        <v>12</v>
      </c>
      <c r="C3" s="9" t="s">
        <v>76</v>
      </c>
      <c r="D3" s="9" t="s">
        <v>134</v>
      </c>
      <c r="E3" s="9" t="s">
        <v>137</v>
      </c>
      <c r="F3" s="9">
        <v>10</v>
      </c>
      <c r="G3" s="9" t="s">
        <v>135</v>
      </c>
      <c r="H3" s="10">
        <v>1</v>
      </c>
    </row>
    <row r="4" spans="1:9" x14ac:dyDescent="0.2">
      <c r="A4" s="9" t="s">
        <v>67</v>
      </c>
      <c r="B4" s="9" t="s">
        <v>18</v>
      </c>
      <c r="C4" s="9" t="s">
        <v>76</v>
      </c>
      <c r="D4" s="9" t="s">
        <v>138</v>
      </c>
      <c r="E4" s="9" t="s">
        <v>139</v>
      </c>
      <c r="F4" s="9">
        <v>10</v>
      </c>
      <c r="G4" s="9" t="s">
        <v>140</v>
      </c>
      <c r="H4" s="10">
        <v>0.3276</v>
      </c>
      <c r="I4" t="s">
        <v>141</v>
      </c>
    </row>
    <row r="5" spans="1:9" x14ac:dyDescent="0.2">
      <c r="A5" s="9" t="s">
        <v>68</v>
      </c>
      <c r="B5" s="9" t="s">
        <v>12</v>
      </c>
      <c r="C5" s="9" t="s">
        <v>76</v>
      </c>
      <c r="D5" s="9" t="s">
        <v>143</v>
      </c>
      <c r="E5" s="9" t="s">
        <v>144</v>
      </c>
      <c r="F5" s="9">
        <v>12</v>
      </c>
      <c r="G5" s="9" t="s">
        <v>140</v>
      </c>
      <c r="H5" s="10">
        <v>0.17019999999999999</v>
      </c>
      <c r="I5" t="s">
        <v>145</v>
      </c>
    </row>
    <row r="6" spans="1:9" x14ac:dyDescent="0.2">
      <c r="A6" s="9" t="s">
        <v>69</v>
      </c>
      <c r="B6" s="9" t="s">
        <v>18</v>
      </c>
      <c r="C6" s="9" t="s">
        <v>76</v>
      </c>
      <c r="D6" s="9" t="s">
        <v>146</v>
      </c>
      <c r="E6" s="9" t="s">
        <v>147</v>
      </c>
      <c r="F6" s="9">
        <v>11</v>
      </c>
      <c r="G6" s="9" t="s">
        <v>140</v>
      </c>
      <c r="H6" s="10">
        <v>0.1754</v>
      </c>
      <c r="I6" t="s">
        <v>148</v>
      </c>
    </row>
    <row r="7" spans="1:9" x14ac:dyDescent="0.2">
      <c r="A7" s="9" t="s">
        <v>70</v>
      </c>
      <c r="B7" s="9" t="s">
        <v>12</v>
      </c>
      <c r="C7" s="9" t="s">
        <v>76</v>
      </c>
      <c r="D7" s="9" t="s">
        <v>150</v>
      </c>
      <c r="E7" s="9" t="s">
        <v>151</v>
      </c>
      <c r="F7" s="9">
        <v>10</v>
      </c>
      <c r="G7" s="9" t="s">
        <v>149</v>
      </c>
      <c r="H7" s="10">
        <v>0.44829999999999998</v>
      </c>
    </row>
    <row r="8" spans="1:9" x14ac:dyDescent="0.2">
      <c r="A8" s="9" t="s">
        <v>71</v>
      </c>
      <c r="B8" s="9" t="s">
        <v>12</v>
      </c>
      <c r="C8" s="9" t="s">
        <v>76</v>
      </c>
      <c r="D8" s="9" t="s">
        <v>152</v>
      </c>
      <c r="E8" s="9" t="s">
        <v>153</v>
      </c>
      <c r="F8" s="9">
        <v>11</v>
      </c>
      <c r="G8" s="9" t="s">
        <v>140</v>
      </c>
      <c r="H8" s="10">
        <v>0.94479999999999997</v>
      </c>
    </row>
    <row r="9" spans="1:9" x14ac:dyDescent="0.2">
      <c r="A9" s="9" t="s">
        <v>72</v>
      </c>
      <c r="B9" s="9" t="s">
        <v>12</v>
      </c>
      <c r="C9" s="9" t="s">
        <v>76</v>
      </c>
      <c r="D9" s="9" t="s">
        <v>154</v>
      </c>
      <c r="E9" s="9" t="s">
        <v>155</v>
      </c>
      <c r="F9" s="9">
        <v>6</v>
      </c>
      <c r="G9" s="9" t="s">
        <v>149</v>
      </c>
      <c r="H9" s="10">
        <v>0.96020000000000005</v>
      </c>
    </row>
    <row r="17" spans="1:1" x14ac:dyDescent="0.2">
      <c r="A17" s="3"/>
    </row>
    <row r="18" spans="1:1" x14ac:dyDescent="0.2">
      <c r="A18" s="3"/>
    </row>
    <row r="19" spans="1:1" x14ac:dyDescent="0.2">
      <c r="A19" s="4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</sheetData>
  <pageMargins left="0.7" right="0.7" top="0.78740157499999996" bottom="0.78740157499999996" header="0.3" footer="0.3"/>
  <pageSetup paperSize="9" scale="8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CPS_overview</vt:lpstr>
      <vt:lpstr>CPS1000</vt:lpstr>
      <vt:lpstr>literature</vt:lpstr>
      <vt:lpstr>references</vt:lpstr>
      <vt:lpstr>co-mutations</vt:lpstr>
      <vt:lpstr>table</vt:lpstr>
      <vt:lpstr>table!Druckbereich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2025-03-19T22:10:29Z</cp:lastPrinted>
  <dcterms:created xsi:type="dcterms:W3CDTF">2024-09-17T09:39:12Z</dcterms:created>
  <dcterms:modified xsi:type="dcterms:W3CDTF">2025-11-12T14:43:38Z</dcterms:modified>
</cp:coreProperties>
</file>